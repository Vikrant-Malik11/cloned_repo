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176428E6-CC11-C334-683E-B6102A28F97D}"/>
  <workbookPr codeName="ThisWorkbook1" hidePivotFieldList="1"/>
  <bookViews>
    <workbookView xWindow="0" yWindow="495" windowWidth="20730" windowHeight="1176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18"/>
  <c r="D30"/>
  <c r="E30"/>
  <c r="F30"/>
  <c r="B30"/>
  <c r="C29"/>
  <c r="D29"/>
  <c r="E29"/>
  <c r="F29"/>
  <c r="B29"/>
  <c r="E28"/>
  <c r="F28"/>
  <c r="D28"/>
  <c r="C28"/>
  <c r="B28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F6"/>
  <c r="E6"/>
  <c r="D6"/>
  <c r="C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6"/>
  <c r="C22" i="19"/>
  <c r="H41" i="1"/>
</calcChain>
</file>

<file path=xl/sharedStrings.xml><?xml version="1.0" encoding="utf-8"?>
<sst xmlns="http://schemas.openxmlformats.org/spreadsheetml/2006/main" count="405" uniqueCount="182">
  <si>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</si>
  <si>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</si>
  <si>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</si>
  <si>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</si>
  <si>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</si>
  <si>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</si>
  <si>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</si>
  <si>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</si>
  <si>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</si>
  <si>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</si>
  <si>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</si>
  <si>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</si>
  <si>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</si>
  <si>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</si>
  <si>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</si>
  <si>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</si>
  <si>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</si>
  <si>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</si>
  <si>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</si>
  <si>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</si>
  <si>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</si>
  <si>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</si>
  <si>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</si>
  <si>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</si>
  <si>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</si>
  <si>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</si>
  <si>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</si>
  <si>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</si>
  <si>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</si>
  <si>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</si>
  <si>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</si>
  <si>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</si>
  <si>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</si>
  <si>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</si>
  <si>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</si>
  <si>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</si>
  <si>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</si>
  <si>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</si>
  <si>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</si>
  <si>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</si>
  <si>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</si>
  <si>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</si>
  <si>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</si>
  <si>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</si>
  <si>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</si>
  <si>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</si>
  <si>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</si>
  <si>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</si>
  <si>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</si>
  <si>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</si>
  <si>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</si>
  <si>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</si>
  <si>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</si>
  <si>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</si>
  <si>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</si>
  <si>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</si>
  <si>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</si>
  <si>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</si>
  <si>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</si>
  <si>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</si>
  <si>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</si>
  <si>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</si>
  <si>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</si>
  <si>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</si>
  <si>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</si>
  <si>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</si>
  <si>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</si>
  <si>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</si>
  <si>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</si>
  <si>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</si>
  <si>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</si>
  <si>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</si>
  <si>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</si>
  <si>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</si>
  <si>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</si>
  <si>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</si>
  <si>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</si>
  <si>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</si>
  <si>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</si>
  <si>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</si>
  <si>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</si>
  <si>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</si>
  <si>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</si>
  <si>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</si>
  <si>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</si>
  <si>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</si>
  <si>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</si>
  <si>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</si>
  <si>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</si>
  <si>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</si>
  <si>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</si>
  <si>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</si>
  <si>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</si>
  <si>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</si>
  <si>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</si>
  <si>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</si>
  <si>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</si>
  <si>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</si>
  <si>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</si>
  <si>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</si>
  <si>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</si>
  <si>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</si>
  <si>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</si>
  <si>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</si>
  <si>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</si>
  <si>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</si>
  <si>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</si>
  <si>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</si>
  <si>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</si>
  <si>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</si>
  <si>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</si>
  <si>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</si>
  <si>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</si>
  <si>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</si>
  <si>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</si>
  <si>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</si>
  <si>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</si>
  <si>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</si>
  <si>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</si>
  <si>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</si>
  <si>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</si>
  <si>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</si>
  <si>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</si>
  <si>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</si>
  <si>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</si>
  <si>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</si>
  <si>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</si>
  <si>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</si>
  <si>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</si>
  <si>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</si>
  <si>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</si>
  <si>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</si>
  <si>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</si>
  <si>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</si>
  <si>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</si>
  <si>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</si>
  <si>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</si>
  <si>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</si>
  <si>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</si>
  <si>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</si>
  <si>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</si>
  <si>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</si>
  <si>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</si>
  <si>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</si>
  <si>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</si>
  <si>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</si>
  <si>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</si>
  <si>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</si>
  <si>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</si>
  <si>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</si>
  <si>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</si>
  <si>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</si>
  <si>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</si>
  <si>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</si>
  <si>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</si>
  <si>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</si>
  <si>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</si>
  <si>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</si>
  <si>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</si>
  <si>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</si>
  <si>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</si>
  <si>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</si>
  <si>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</si>
  <si>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</si>
  <si>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</si>
  <si>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</si>
  <si>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</si>
  <si>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</si>
  <si>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</si>
  <si>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</si>
  <si>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</si>
  <si>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</si>
  <si>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</si>
  <si>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</si>
  <si>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</si>
  <si>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</si>
  <si>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</si>
  <si>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</si>
  <si>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I used text columns .</t>
  </si>
  <si>
    <t>first selected the columns I want to split the value of, then goes to Data&gt;Data Tools&gt; Text to Columns and then specifity the delimiter and columns in which wants to fill the value.</t>
  </si>
  <si>
    <t xml:space="preserve"> Used replace and sum.</t>
  </si>
  <si>
    <t>first replaced N/A with 20 with replace function and then used sum function and gave the range in which wanted to sum in this case c12:c21</t>
  </si>
</sst>
</file>

<file path=xl/styles.xml><?xml version="1.0" encoding="utf-8"?>
<styleSheet xmlns="http://schemas.openxmlformats.org/spreadsheetml/2006/main">
  <numFmts count="2">
    <numFmt numFmtId="164" formatCode="hh:mm:ss;@"/>
    <numFmt numFmtId="165" formatCode="yyyy\-mm\-dd;@"/>
  </numFmts>
  <fonts count="18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5" fontId="7" fillId="0" borderId="0" xfId="0" applyNumberFormat="1" applyFont="1"/>
    <xf numFmtId="165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theme="9" tint="0.39997558519241921"/>
  </sheetPr>
  <dimension ref="A1:C15"/>
  <sheetViews>
    <sheetView workbookViewId="0"/>
  </sheetViews>
  <sheetFormatPr defaultColWidth="11" defaultRowHeight="12.75"/>
  <cols>
    <col min="1" max="1" width="70.83203125" style="2" bestFit="1" customWidth="1"/>
    <col min="2" max="16384" width="11" style="2"/>
  </cols>
  <sheetData>
    <row r="1" spans="1:3" ht="18.75">
      <c r="A1" s="39" t="s">
        <v>109</v>
      </c>
    </row>
    <row r="2" spans="1:3">
      <c r="A2" s="2" t="s">
        <v>110</v>
      </c>
    </row>
    <row r="3" spans="1:3">
      <c r="A3" s="2" t="s">
        <v>111</v>
      </c>
    </row>
    <row r="4" spans="1:3" ht="15">
      <c r="A4" s="2" t="s">
        <v>177</v>
      </c>
      <c r="C4" s="1"/>
    </row>
    <row r="5" spans="1:3">
      <c r="A5" s="2" t="s">
        <v>152</v>
      </c>
    </row>
    <row r="8" spans="1:3">
      <c r="A8" s="2" t="s">
        <v>173</v>
      </c>
    </row>
    <row r="9" spans="1:3">
      <c r="A9" s="36" t="s">
        <v>171</v>
      </c>
      <c r="B9" s="26" t="s">
        <v>169</v>
      </c>
    </row>
    <row r="10" spans="1:3">
      <c r="A10" s="35" t="s">
        <v>172</v>
      </c>
      <c r="B10" s="37">
        <v>25</v>
      </c>
    </row>
    <row r="11" spans="1:3">
      <c r="A11" s="35" t="s">
        <v>55</v>
      </c>
      <c r="B11" s="37">
        <v>30</v>
      </c>
    </row>
    <row r="12" spans="1:3">
      <c r="A12" s="35" t="s">
        <v>56</v>
      </c>
      <c r="B12" s="37">
        <v>10</v>
      </c>
    </row>
    <row r="13" spans="1:3">
      <c r="A13" s="35" t="s">
        <v>85</v>
      </c>
      <c r="B13" s="37">
        <v>20</v>
      </c>
    </row>
    <row r="14" spans="1:3">
      <c r="A14" s="35" t="s">
        <v>98</v>
      </c>
      <c r="B14" s="37">
        <v>40</v>
      </c>
    </row>
    <row r="15" spans="1: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X41"/>
  <sheetViews>
    <sheetView topLeftCell="K1" workbookViewId="0">
      <pane ySplit="1" topLeftCell="A2" activePane="bottomLeft" state="frozen"/>
      <selection pane="bottomLeft" activeCell="N24" sqref="N24"/>
    </sheetView>
  </sheetViews>
  <sheetFormatPr defaultColWidth="9" defaultRowHeight="1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7" bestFit="1" customWidth="1"/>
    <col min="25" max="16384" width="9" style="1"/>
  </cols>
  <sheetData>
    <row r="1" spans="1:24" s="3" customFormat="1" ht="14.85" customHeight="1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106</v>
      </c>
    </row>
    <row r="2" spans="1:24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65.900000000000006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65.900000000000006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65.900000000000006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>
      <c r="H41" s="1">
        <f ca="1">SUMIF(H:H,"&gt;20")</f>
        <v>0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equal">
      <formula>-1</formula>
    </cfRule>
  </conditionalFormatting>
  <conditionalFormatting sqref="E1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E14"/>
  <sheetViews>
    <sheetView workbookViewId="0">
      <selection activeCell="B5" sqref="B5"/>
    </sheetView>
  </sheetViews>
  <sheetFormatPr defaultColWidth="11" defaultRowHeight="1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176</v>
      </c>
    </row>
    <row r="2" spans="1:5">
      <c r="A2" s="2"/>
      <c r="B2" s="5" t="s">
        <v>160</v>
      </c>
      <c r="C2" s="2"/>
    </row>
    <row r="3" spans="1:5">
      <c r="A3" s="6">
        <v>1</v>
      </c>
      <c r="B3" s="2" t="s">
        <v>108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34" t="s">
        <v>105</v>
      </c>
      <c r="E5" s="1">
        <v>10</v>
      </c>
    </row>
    <row r="6" spans="1:5">
      <c r="A6" s="6">
        <v>4</v>
      </c>
      <c r="B6" s="2" t="s">
        <v>107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G30"/>
  <sheetViews>
    <sheetView workbookViewId="0">
      <selection activeCell="G30" sqref="G30"/>
    </sheetView>
  </sheetViews>
  <sheetFormatPr defaultColWidth="11" defaultRowHeight="12.75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>
      <c r="A1" s="42" t="s">
        <v>55</v>
      </c>
      <c r="B1" s="41" t="s">
        <v>164</v>
      </c>
    </row>
    <row r="2" spans="1:7" s="41" customFormat="1" ht="21">
      <c r="B2" s="41" t="s">
        <v>161</v>
      </c>
    </row>
    <row r="3" spans="1:7" ht="15">
      <c r="A3" s="1"/>
      <c r="B3" s="1"/>
      <c r="C3" s="1"/>
      <c r="D3" s="1"/>
      <c r="E3" s="1"/>
      <c r="F3" s="1"/>
      <c r="G3" s="1"/>
    </row>
    <row r="4" spans="1:7" ht="23.25">
      <c r="A4" s="18" t="s">
        <v>162</v>
      </c>
      <c r="B4" s="1"/>
      <c r="C4" s="1"/>
      <c r="D4" s="1"/>
      <c r="E4" s="1"/>
      <c r="F4" s="1"/>
      <c r="G4" s="1"/>
    </row>
    <row r="5" spans="1:7" ht="1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>
      <c r="A6" s="7" t="s">
        <v>40</v>
      </c>
      <c r="B6" s="2">
        <f>VLOOKUP(A6,Dataset!A2:X40,7,FALSE)</f>
        <v>2.7</v>
      </c>
      <c r="C6" s="12">
        <f>VLOOKUP(A6,Dataset!A2:X40,14,FALSE)</f>
        <v>7.6</v>
      </c>
      <c r="D6" s="12">
        <f>VLOOKUP(Task_2!A6,Dataset!A1:X40,18,FALSE)</f>
        <v>4.2</v>
      </c>
      <c r="E6" s="12">
        <f>VLOOKUP(A6,Dataset!A1:X40,20,FALSE)</f>
        <v>8.9</v>
      </c>
      <c r="F6" s="8">
        <f>VLOOKUP(A6,Dataset!A1:X40,22,FALSE)</f>
        <v>4.2</v>
      </c>
    </row>
    <row r="7" spans="1:7" ht="15">
      <c r="A7" s="7" t="s">
        <v>4</v>
      </c>
      <c r="B7" s="2">
        <f>VLOOKUP(A7,Dataset!A3:X41,7,FALSE)</f>
        <v>2.7</v>
      </c>
      <c r="C7" s="12">
        <f>VLOOKUP(A7,Dataset!A3:X41,14,FALSE)</f>
        <v>7.6</v>
      </c>
      <c r="D7" s="12">
        <f>VLOOKUP(Task_2!A7,Dataset!A2:X41,18,FALSE)</f>
        <v>4.2</v>
      </c>
      <c r="E7" s="12">
        <f>VLOOKUP(A7,Dataset!A2:X41,20,FALSE)</f>
        <v>8.9</v>
      </c>
      <c r="F7" s="8">
        <f>VLOOKUP(A7,Dataset!A2:X41,22,FALSE)</f>
        <v>4.2</v>
      </c>
    </row>
    <row r="8" spans="1:7" ht="15">
      <c r="A8" s="7" t="s">
        <v>7</v>
      </c>
      <c r="B8" s="2">
        <f>VLOOKUP(A8,Dataset!A4:X42,7,FALSE)</f>
        <v>3.6</v>
      </c>
      <c r="C8" s="12">
        <f>VLOOKUP(A8,Dataset!A4:X42,14,FALSE)</f>
        <v>11.1</v>
      </c>
      <c r="D8" s="12">
        <f>VLOOKUP(Task_2!A8,Dataset!A3:X42,18,FALSE)</f>
        <v>5.8</v>
      </c>
      <c r="E8" s="12">
        <f>VLOOKUP(A8,Dataset!A3:X42,20,FALSE)</f>
        <v>12.2</v>
      </c>
      <c r="F8" s="8">
        <f>VLOOKUP(A8,Dataset!A3:X42,22,FALSE)</f>
        <v>5.8</v>
      </c>
    </row>
    <row r="9" spans="1:7" ht="15">
      <c r="A9" s="7" t="s">
        <v>8</v>
      </c>
      <c r="B9" s="2">
        <f>VLOOKUP(A9,Dataset!A5:X43,7,FALSE)</f>
        <v>4.9000000000000004</v>
      </c>
      <c r="C9" s="12">
        <f>VLOOKUP(A9,Dataset!A5:X43,14,FALSE)</f>
        <v>13.3</v>
      </c>
      <c r="D9" s="12">
        <f>VLOOKUP(Task_2!A9,Dataset!A4:X43,18,FALSE)</f>
        <v>8.1</v>
      </c>
      <c r="E9" s="12">
        <f>VLOOKUP(A9,Dataset!A4:X43,20,FALSE)</f>
        <v>17</v>
      </c>
      <c r="F9" s="8">
        <f>VLOOKUP(A9,Dataset!A4:X43,22,FALSE)</f>
        <v>8.1</v>
      </c>
    </row>
    <row r="10" spans="1:7" ht="15">
      <c r="A10" s="7" t="s">
        <v>11</v>
      </c>
      <c r="B10" s="2">
        <f>VLOOKUP(A10,Dataset!A6:X44,7,FALSE)</f>
        <v>9.4</v>
      </c>
      <c r="C10" s="12">
        <f>VLOOKUP(A10,Dataset!A6:X44,14,FALSE)</f>
        <v>28.3</v>
      </c>
      <c r="D10" s="12">
        <f>VLOOKUP(Task_2!A10,Dataset!A5:X44,18,FALSE)</f>
        <v>16.100000000000001</v>
      </c>
      <c r="E10" s="12">
        <f>VLOOKUP(A10,Dataset!A5:X44,20,FALSE)</f>
        <v>32.799999999999997</v>
      </c>
      <c r="F10" s="8">
        <f>VLOOKUP(A10,Dataset!A5:X44,22,FALSE)</f>
        <v>16.100000000000001</v>
      </c>
    </row>
    <row r="11" spans="1:7" ht="15">
      <c r="A11" s="7" t="s">
        <v>12</v>
      </c>
      <c r="B11" s="2">
        <f>VLOOKUP(A11,Dataset!A7:X45,7,FALSE)</f>
        <v>11.6</v>
      </c>
      <c r="C11" s="12">
        <f>VLOOKUP(A11,Dataset!A7:X45,14,FALSE)</f>
        <v>35.200000000000003</v>
      </c>
      <c r="D11" s="12">
        <f>VLOOKUP(Task_2!A11,Dataset!A6:X45,18,FALSE)</f>
        <v>21.3</v>
      </c>
      <c r="E11" s="12">
        <f>VLOOKUP(A11,Dataset!A6:X45,20,FALSE)</f>
        <v>43</v>
      </c>
      <c r="F11" s="8">
        <f>VLOOKUP(A11,Dataset!A6:X45,22,FALSE)</f>
        <v>21.3</v>
      </c>
    </row>
    <row r="12" spans="1:7" ht="15">
      <c r="A12" s="7" t="s">
        <v>14</v>
      </c>
      <c r="B12" s="2">
        <f>VLOOKUP(A12,Dataset!A8:X46,7,FALSE)</f>
        <v>18.399999999999999</v>
      </c>
      <c r="C12" s="12">
        <f>VLOOKUP(A12,Dataset!A8:X46,14,FALSE)</f>
        <v>55.6</v>
      </c>
      <c r="D12" s="12">
        <f>VLOOKUP(Task_2!A12,Dataset!A7:X46,18,FALSE)</f>
        <v>33.799999999999997</v>
      </c>
      <c r="E12" s="12">
        <f>VLOOKUP(A12,Dataset!A7:X46,20,FALSE)</f>
        <v>67.900000000000006</v>
      </c>
      <c r="F12" s="8">
        <f>VLOOKUP(A12,Dataset!A7:X46,22,FALSE)</f>
        <v>33.799999999999997</v>
      </c>
    </row>
    <row r="13" spans="1:7" ht="15">
      <c r="A13" s="7" t="s">
        <v>15</v>
      </c>
      <c r="B13" s="2">
        <f>VLOOKUP(A13,Dataset!A9:X47,7,FALSE)</f>
        <v>0</v>
      </c>
      <c r="C13" s="12">
        <f>VLOOKUP(A13,Dataset!A9:X47,14,FALSE)</f>
        <v>0</v>
      </c>
      <c r="D13" s="12">
        <f>VLOOKUP(Task_2!A13,Dataset!A8:X47,18,FALSE)</f>
        <v>0</v>
      </c>
      <c r="E13" s="12">
        <f>VLOOKUP(A13,Dataset!A8:X47,20,FALSE)</f>
        <v>0</v>
      </c>
      <c r="F13" s="8">
        <f>VLOOKUP(A13,Dataset!A8:X47,22,FALSE)</f>
        <v>0</v>
      </c>
    </row>
    <row r="14" spans="1:7" ht="15">
      <c r="A14" s="7" t="s">
        <v>16</v>
      </c>
      <c r="B14" s="2">
        <f>VLOOKUP(A14,Dataset!A10:X48,7,FALSE)</f>
        <v>21.9</v>
      </c>
      <c r="C14" s="12">
        <f>VLOOKUP(A14,Dataset!A10:X48,14,FALSE)</f>
        <v>61.5</v>
      </c>
      <c r="D14" s="12">
        <f>VLOOKUP(Task_2!A14,Dataset!A9:X48,18,FALSE)</f>
        <v>40.1</v>
      </c>
      <c r="E14" s="12">
        <f>VLOOKUP(A14,Dataset!A9:X48,20,FALSE)</f>
        <v>76.599999999999994</v>
      </c>
      <c r="F14" s="8">
        <f>VLOOKUP(A14,Dataset!A9:X48,22,FALSE)</f>
        <v>40.1</v>
      </c>
    </row>
    <row r="15" spans="1:7" ht="15">
      <c r="A15" s="7" t="s">
        <v>18</v>
      </c>
      <c r="B15" s="2">
        <f>VLOOKUP(A15,Dataset!A11:X49,7,FALSE)</f>
        <v>26.8</v>
      </c>
      <c r="C15" s="12">
        <f>VLOOKUP(A15,Dataset!A11:X49,14,FALSE)</f>
        <v>79.599999999999994</v>
      </c>
      <c r="D15" s="12">
        <f>VLOOKUP(Task_2!A15,Dataset!A10:X49,18,FALSE)</f>
        <v>47.9</v>
      </c>
      <c r="E15" s="12">
        <f>VLOOKUP(A15,Dataset!A10:X49,20,FALSE)</f>
        <v>96.8</v>
      </c>
      <c r="F15" s="8">
        <f>VLOOKUP(A15,Dataset!A10:X49,22,FALSE)</f>
        <v>47.9</v>
      </c>
    </row>
    <row r="16" spans="1:7" ht="15">
      <c r="A16" s="7" t="s">
        <v>20</v>
      </c>
      <c r="B16" s="2">
        <f>VLOOKUP(A16,Dataset!A12:X50,7,FALSE)</f>
        <v>28.5</v>
      </c>
      <c r="C16" s="12">
        <f>VLOOKUP(A16,Dataset!A12:X50,14,FALSE)</f>
        <v>85.4</v>
      </c>
      <c r="D16" s="12">
        <f>VLOOKUP(Task_2!A16,Dataset!A11:X50,18,FALSE)</f>
        <v>52.3</v>
      </c>
      <c r="E16" s="12">
        <f>VLOOKUP(A16,Dataset!A11:X50,20,FALSE)</f>
        <v>106.1</v>
      </c>
      <c r="F16" s="8">
        <f>VLOOKUP(A16,Dataset!A11:X50,22,FALSE)</f>
        <v>52.3</v>
      </c>
    </row>
    <row r="17" spans="1:6" ht="15">
      <c r="A17" s="7" t="s">
        <v>22</v>
      </c>
      <c r="B17" s="2">
        <f>VLOOKUP(A17,Dataset!A13:X51,7,FALSE)</f>
        <v>30.7</v>
      </c>
      <c r="C17" s="12">
        <f>VLOOKUP(A17,Dataset!A13:X51,14,FALSE)</f>
        <v>92.1</v>
      </c>
      <c r="D17" s="12">
        <f>VLOOKUP(Task_2!A17,Dataset!A12:X51,18,FALSE)</f>
        <v>57</v>
      </c>
      <c r="E17" s="12">
        <f>VLOOKUP(A17,Dataset!A12:X51,20,FALSE)</f>
        <v>115.1</v>
      </c>
      <c r="F17" s="8">
        <f>VLOOKUP(A17,Dataset!A12:X51,22,FALSE)</f>
        <v>57</v>
      </c>
    </row>
    <row r="18" spans="1:6" ht="15">
      <c r="A18" s="7" t="s">
        <v>23</v>
      </c>
      <c r="B18" s="2">
        <f>VLOOKUP(A18,Dataset!A14:X52,7,FALSE)</f>
        <v>33.799999999999997</v>
      </c>
      <c r="C18" s="12">
        <f>VLOOKUP(A18,Dataset!A14:X52,14,FALSE)</f>
        <v>101.3</v>
      </c>
      <c r="D18" s="12">
        <f>VLOOKUP(Task_2!A18,Dataset!A13:X52,18,FALSE)</f>
        <v>61.4</v>
      </c>
      <c r="E18" s="12">
        <f>VLOOKUP(A18,Dataset!A13:X52,20,FALSE)</f>
        <v>124.4</v>
      </c>
      <c r="F18" s="8">
        <f>VLOOKUP(A18,Dataset!A13:X52,22,FALSE)</f>
        <v>61.4</v>
      </c>
    </row>
    <row r="19" spans="1:6" ht="15">
      <c r="A19" s="7" t="s">
        <v>24</v>
      </c>
      <c r="B19" s="2">
        <f>VLOOKUP(A19,Dataset!A15:X53,7,FALSE)</f>
        <v>34.700000000000003</v>
      </c>
      <c r="C19" s="12">
        <f>VLOOKUP(A19,Dataset!A15:X53,14,FALSE)</f>
        <v>106.1</v>
      </c>
      <c r="D19" s="12">
        <f>VLOOKUP(Task_2!A19,Dataset!A14:X53,18,FALSE)</f>
        <v>63.6</v>
      </c>
      <c r="E19" s="12">
        <f>VLOOKUP(A19,Dataset!A14:X53,20,FALSE)</f>
        <v>128.6</v>
      </c>
      <c r="F19" s="8">
        <f>VLOOKUP(A19,Dataset!A14:X53,22,FALSE)</f>
        <v>63.6</v>
      </c>
    </row>
    <row r="20" spans="1:6" ht="15">
      <c r="A20" s="7" t="s">
        <v>28</v>
      </c>
      <c r="B20" s="2">
        <f>VLOOKUP(A20,Dataset!A16:X54,7,FALSE)</f>
        <v>0</v>
      </c>
      <c r="C20" s="12">
        <f>VLOOKUP(A20,Dataset!A16:X54,14,FALSE)</f>
        <v>0</v>
      </c>
      <c r="D20" s="12">
        <f>VLOOKUP(Task_2!A20,Dataset!A15:X54,18,FALSE)</f>
        <v>0</v>
      </c>
      <c r="E20" s="12">
        <f>VLOOKUP(A20,Dataset!A15:X54,20,FALSE)</f>
        <v>0</v>
      </c>
      <c r="F20" s="8">
        <f>VLOOKUP(A20,Dataset!A15:X54,22,FALSE)</f>
        <v>0</v>
      </c>
    </row>
    <row r="21" spans="1:6" ht="15">
      <c r="A21" s="7" t="s">
        <v>57</v>
      </c>
      <c r="B21" s="2">
        <f>VLOOKUP(A21,Dataset!A17:X55,7,FALSE)</f>
        <v>41.3</v>
      </c>
      <c r="C21" s="12">
        <f>VLOOKUP(A21,Dataset!A17:X55,14,FALSE)</f>
        <v>124.4</v>
      </c>
      <c r="D21" s="12">
        <f>VLOOKUP(Task_2!A21,Dataset!A16:X55,18,FALSE)</f>
        <v>75</v>
      </c>
      <c r="E21" s="12">
        <f>VLOOKUP(A21,Dataset!A16:X55,20,FALSE)</f>
        <v>151.5</v>
      </c>
      <c r="F21" s="8">
        <f>VLOOKUP(A21,Dataset!A16:X55,22,FALSE)</f>
        <v>75</v>
      </c>
    </row>
    <row r="22" spans="1:6" ht="15">
      <c r="A22" s="7" t="s">
        <v>58</v>
      </c>
      <c r="B22" s="2">
        <f>VLOOKUP(A22,Dataset!A18:X56,7,FALSE)</f>
        <v>-1</v>
      </c>
      <c r="C22" s="12">
        <f>VLOOKUP(A22,Dataset!A18:X56,14,FALSE)</f>
        <v>-1</v>
      </c>
      <c r="D22" s="12">
        <f>VLOOKUP(Task_2!A22,Dataset!A17:X56,18,FALSE)</f>
        <v>-1</v>
      </c>
      <c r="E22" s="12">
        <f>VLOOKUP(A22,Dataset!A17:X56,20,FALSE)</f>
        <v>-1</v>
      </c>
      <c r="F22" s="8">
        <f>VLOOKUP(A22,Dataset!A17:X56,22,FALSE)</f>
        <v>-1</v>
      </c>
    </row>
    <row r="23" spans="1:6" ht="15">
      <c r="A23" s="7" t="s">
        <v>31</v>
      </c>
      <c r="B23" s="2">
        <f>VLOOKUP(A23,Dataset!A19:X57,7,FALSE)</f>
        <v>45</v>
      </c>
      <c r="C23" s="12">
        <f>VLOOKUP(A23,Dataset!A19:X57,14,FALSE)</f>
        <v>133.4</v>
      </c>
      <c r="D23" s="12">
        <f>VLOOKUP(Task_2!A23,Dataset!A18:X57,18,FALSE)</f>
        <v>79.400000000000006</v>
      </c>
      <c r="E23" s="12">
        <f>VLOOKUP(A23,Dataset!A18:X57,20,FALSE)</f>
        <v>160.9</v>
      </c>
      <c r="F23" s="8">
        <f>VLOOKUP(A23,Dataset!A18:X57,22,FALSE)</f>
        <v>79.400000000000006</v>
      </c>
    </row>
    <row r="24" spans="1:6" ht="15">
      <c r="A24" s="7" t="s">
        <v>32</v>
      </c>
      <c r="B24" s="2">
        <f>VLOOKUP(A24,Dataset!A20:X58,7,FALSE)</f>
        <v>-1</v>
      </c>
      <c r="C24" s="12">
        <f>VLOOKUP(A24,Dataset!A20:X58,14,FALSE)</f>
        <v>-1</v>
      </c>
      <c r="D24" s="12">
        <f>VLOOKUP(Task_2!A24,Dataset!A19:X58,18,FALSE)</f>
        <v>-1</v>
      </c>
      <c r="E24" s="12">
        <f>VLOOKUP(A24,Dataset!A19:X58,20,FALSE)</f>
        <v>-1</v>
      </c>
      <c r="F24" s="8">
        <f>VLOOKUP(A24,Dataset!A19:X58,22,FALSE)</f>
        <v>-1</v>
      </c>
    </row>
    <row r="25" spans="1:6" ht="15">
      <c r="A25" s="7" t="s">
        <v>34</v>
      </c>
      <c r="B25" s="2">
        <f>VLOOKUP(A25,Dataset!A21:X59,7,FALSE)</f>
        <v>43.3</v>
      </c>
      <c r="C25" s="12">
        <f>VLOOKUP(A25,Dataset!A21:X59,14,FALSE)</f>
        <v>128.6</v>
      </c>
      <c r="D25" s="12">
        <f>VLOOKUP(Task_2!A25,Dataset!A20:X59,18,FALSE)</f>
        <v>79.400000000000006</v>
      </c>
      <c r="E25" s="12">
        <f>VLOOKUP(A25,Dataset!A20:X59,20,FALSE)</f>
        <v>160.9</v>
      </c>
      <c r="F25" s="8">
        <f>VLOOKUP(A25,Dataset!A20:X59,22,FALSE)</f>
        <v>79.400000000000006</v>
      </c>
    </row>
    <row r="26" spans="1:6" ht="15">
      <c r="A26" s="7" t="s">
        <v>37</v>
      </c>
      <c r="B26" s="2">
        <f>VLOOKUP(A26,Dataset!A22:X60,7,FALSE)</f>
        <v>49.1</v>
      </c>
      <c r="C26" s="12">
        <f>VLOOKUP(A26,Dataset!A22:X60,14,FALSE)</f>
        <v>146.80000000000001</v>
      </c>
      <c r="D26" s="12">
        <f>VLOOKUP(Task_2!A26,Dataset!A21:X60,18,FALSE)</f>
        <v>90.9</v>
      </c>
      <c r="E26" s="12">
        <f>VLOOKUP(A26,Dataset!A21:X60,20,FALSE)</f>
        <v>183.5</v>
      </c>
      <c r="F26" s="8">
        <f>VLOOKUP(A26,Dataset!A21:X60,22,FALSE)</f>
        <v>90.9</v>
      </c>
    </row>
    <row r="27" spans="1:6" ht="15">
      <c r="A27" s="7" t="s">
        <v>39</v>
      </c>
      <c r="B27" s="2">
        <f>VLOOKUP(A27,Dataset!A23:X61,7,FALSE)</f>
        <v>51.8</v>
      </c>
      <c r="C27" s="12">
        <f>VLOOKUP(A27,Dataset!A23:X61,14,FALSE)</f>
        <v>156.4</v>
      </c>
      <c r="D27" s="12">
        <f>VLOOKUP(Task_2!A27,Dataset!A22:X61,18,FALSE)</f>
        <v>93.1</v>
      </c>
      <c r="E27" s="12">
        <f>VLOOKUP(A27,Dataset!A22:X61,20,FALSE)</f>
        <v>188.1</v>
      </c>
      <c r="F27" s="8">
        <f>VLOOKUP(A27,Dataset!A22:X61,22,FALSE)</f>
        <v>93.1</v>
      </c>
    </row>
    <row r="28" spans="1:6" ht="15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 t="shared" ref="E28:F28" si="0">MIN(E6:E27)</f>
        <v>-1</v>
      </c>
      <c r="F28" s="31">
        <f t="shared" si="0"/>
        <v>-1</v>
      </c>
    </row>
    <row r="29" spans="1:6" ht="15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5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J54"/>
  <sheetViews>
    <sheetView workbookViewId="0">
      <selection activeCell="B6" sqref="B6"/>
    </sheetView>
  </sheetViews>
  <sheetFormatPr defaultColWidth="11" defaultRowHeight="15"/>
  <cols>
    <col min="1" max="1" width="39.83203125" style="1" bestFit="1" customWidth="1"/>
    <col min="2" max="16384" width="11" style="1"/>
  </cols>
  <sheetData>
    <row r="1" spans="1:10" s="41" customFormat="1" ht="21">
      <c r="A1" s="42" t="s">
        <v>56</v>
      </c>
      <c r="B1" s="41" t="s">
        <v>174</v>
      </c>
    </row>
    <row r="2" spans="1:10" customFormat="1" ht="12.75"/>
    <row r="3" spans="1:10" s="2" customFormat="1">
      <c r="B3" s="1"/>
    </row>
    <row r="4" spans="1:10" s="2" customFormat="1">
      <c r="B4" s="1" t="s">
        <v>151</v>
      </c>
    </row>
    <row r="5" spans="1:10" ht="18.75">
      <c r="A5" s="43" t="s">
        <v>53</v>
      </c>
      <c r="B5" s="40" t="s">
        <v>178</v>
      </c>
    </row>
    <row r="6" spans="1:10" ht="18.75">
      <c r="A6" s="43" t="s">
        <v>153</v>
      </c>
      <c r="B6" s="40" t="s">
        <v>179</v>
      </c>
    </row>
    <row r="7" spans="1:10" ht="18.75">
      <c r="A7" s="43"/>
      <c r="B7" s="40"/>
    </row>
    <row r="9" spans="1:10" ht="23.25">
      <c r="A9" s="18" t="s">
        <v>165</v>
      </c>
      <c r="I9" s="2"/>
      <c r="J9" s="2"/>
    </row>
    <row r="10" spans="1:10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>
      <c r="A14" s="18" t="s">
        <v>162</v>
      </c>
    </row>
    <row r="15" spans="1:10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C22"/>
  <sheetViews>
    <sheetView topLeftCell="A2" workbookViewId="0">
      <selection activeCell="F15" sqref="F15"/>
    </sheetView>
  </sheetViews>
  <sheetFormatPr defaultColWidth="11" defaultRowHeight="12.75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>
      <c r="A1" s="42" t="s">
        <v>85</v>
      </c>
      <c r="B1" s="41" t="s">
        <v>167</v>
      </c>
    </row>
    <row r="2" spans="1:3" ht="18.75">
      <c r="B2" s="40" t="s">
        <v>166</v>
      </c>
    </row>
    <row r="5" spans="1:3" ht="15">
      <c r="B5" s="1" t="s">
        <v>151</v>
      </c>
    </row>
    <row r="6" spans="1:3" ht="15">
      <c r="A6" s="3" t="s">
        <v>53</v>
      </c>
      <c r="B6" s="1" t="s">
        <v>180</v>
      </c>
    </row>
    <row r="7" spans="1:3" ht="15">
      <c r="A7" s="3" t="s">
        <v>153</v>
      </c>
      <c r="B7" s="1" t="s">
        <v>181</v>
      </c>
    </row>
    <row r="10" spans="1:3" ht="23.25">
      <c r="A10" s="18" t="s">
        <v>162</v>
      </c>
    </row>
    <row r="11" spans="1:3" ht="15">
      <c r="A11" s="32" t="s">
        <v>86</v>
      </c>
      <c r="B11" s="17" t="s">
        <v>87</v>
      </c>
      <c r="C11" s="17" t="s">
        <v>88</v>
      </c>
    </row>
    <row r="12" spans="1:3" ht="15">
      <c r="A12" s="32">
        <v>44927</v>
      </c>
      <c r="B12" s="17" t="s">
        <v>59</v>
      </c>
      <c r="C12" s="17">
        <v>200</v>
      </c>
    </row>
    <row r="13" spans="1:3" ht="15">
      <c r="A13" s="32">
        <v>44928</v>
      </c>
      <c r="B13" s="17" t="s">
        <v>60</v>
      </c>
      <c r="C13" s="17">
        <v>20</v>
      </c>
    </row>
    <row r="14" spans="1:3" ht="15">
      <c r="A14" s="32">
        <v>44929</v>
      </c>
      <c r="B14" s="17" t="s">
        <v>61</v>
      </c>
      <c r="C14" s="17">
        <v>50</v>
      </c>
    </row>
    <row r="15" spans="1:3" ht="15">
      <c r="A15" s="32">
        <v>44930</v>
      </c>
      <c r="B15" s="17" t="s">
        <v>62</v>
      </c>
      <c r="C15" s="17">
        <v>20</v>
      </c>
    </row>
    <row r="16" spans="1:3" ht="15">
      <c r="A16" s="32">
        <v>44931</v>
      </c>
      <c r="B16" s="17" t="s">
        <v>63</v>
      </c>
      <c r="C16" s="17">
        <v>10</v>
      </c>
    </row>
    <row r="17" spans="1:3" ht="15">
      <c r="A17" s="32">
        <v>44932</v>
      </c>
      <c r="B17" s="17" t="s">
        <v>154</v>
      </c>
      <c r="C17" s="17">
        <v>150</v>
      </c>
    </row>
    <row r="18" spans="1:3" ht="15">
      <c r="A18" s="32">
        <v>44933</v>
      </c>
      <c r="B18" s="17" t="s">
        <v>155</v>
      </c>
      <c r="C18" s="17">
        <v>80</v>
      </c>
    </row>
    <row r="19" spans="1:3" ht="15">
      <c r="A19" s="32">
        <v>44934</v>
      </c>
      <c r="B19" s="17" t="s">
        <v>156</v>
      </c>
      <c r="C19" s="17">
        <v>20</v>
      </c>
    </row>
    <row r="20" spans="1:3" ht="15">
      <c r="A20" s="32">
        <v>44935</v>
      </c>
      <c r="B20" s="17" t="s">
        <v>157</v>
      </c>
      <c r="C20" s="17">
        <v>30</v>
      </c>
    </row>
    <row r="21" spans="1:3" ht="15">
      <c r="A21" s="32">
        <v>44936</v>
      </c>
      <c r="B21" s="17" t="s">
        <v>158</v>
      </c>
      <c r="C21" s="17">
        <v>20</v>
      </c>
    </row>
    <row r="22" spans="1:3" ht="15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N35"/>
  <sheetViews>
    <sheetView tabSelected="1" topLeftCell="A15" workbookViewId="0">
      <selection activeCell="F28" sqref="F28"/>
    </sheetView>
  </sheetViews>
  <sheetFormatPr defaultColWidth="11" defaultRowHeight="12.75"/>
  <cols>
    <col min="1" max="1" width="28.1640625" style="2" bestFit="1" customWidth="1"/>
    <col min="2" max="16384" width="11" style="2"/>
  </cols>
  <sheetData>
    <row r="1" spans="1:14" ht="21">
      <c r="A1" s="42" t="s">
        <v>98</v>
      </c>
      <c r="B1" s="41" t="s">
        <v>175</v>
      </c>
    </row>
    <row r="3" spans="1:14" ht="15">
      <c r="B3" s="1" t="s">
        <v>151</v>
      </c>
    </row>
    <row r="4" spans="1:14" ht="18.75">
      <c r="A4" s="43" t="s">
        <v>53</v>
      </c>
      <c r="B4" s="1"/>
    </row>
    <row r="5" spans="1:14" ht="18.75">
      <c r="A5" s="43" t="s">
        <v>153</v>
      </c>
      <c r="B5" s="1"/>
    </row>
    <row r="6" spans="1:14" ht="15">
      <c r="A6" s="3"/>
      <c r="B6" s="1"/>
    </row>
    <row r="8" spans="1:14" ht="23.25">
      <c r="A8" s="18" t="s">
        <v>162</v>
      </c>
      <c r="M8" s="18" t="s">
        <v>163</v>
      </c>
    </row>
    <row r="9" spans="1:14" ht="1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>
      <c r="A21" s="18" t="s">
        <v>168</v>
      </c>
    </row>
    <row r="22" spans="1:14" ht="15">
      <c r="A22" s="14" t="s">
        <v>100</v>
      </c>
      <c r="B22" s="17" t="s">
        <v>101</v>
      </c>
      <c r="C22" s="16" t="s">
        <v>102</v>
      </c>
    </row>
    <row r="23" spans="1:14" ht="15">
      <c r="A23" s="7">
        <v>10100</v>
      </c>
      <c r="B23" s="12">
        <v>10102</v>
      </c>
      <c r="C23" s="44">
        <v>95</v>
      </c>
    </row>
    <row r="24" spans="1:14" ht="15">
      <c r="A24" s="7">
        <v>10100</v>
      </c>
      <c r="B24" s="12">
        <v>10104</v>
      </c>
      <c r="C24" s="44">
        <v>-1</v>
      </c>
    </row>
    <row r="25" spans="1:14" ht="15">
      <c r="A25" s="7">
        <v>10108</v>
      </c>
      <c r="B25" s="12">
        <v>10102</v>
      </c>
      <c r="C25" s="44">
        <v>160</v>
      </c>
    </row>
    <row r="26" spans="1:14" ht="15">
      <c r="A26" s="7">
        <v>10100</v>
      </c>
      <c r="B26" s="12">
        <v>10106</v>
      </c>
      <c r="C26" s="44">
        <v>185</v>
      </c>
    </row>
    <row r="27" spans="1:14" ht="15">
      <c r="A27" s="7">
        <v>10108</v>
      </c>
      <c r="B27" s="12">
        <v>10110</v>
      </c>
      <c r="C27" s="44">
        <v>50</v>
      </c>
    </row>
    <row r="28" spans="1:14" ht="15">
      <c r="A28" s="7">
        <v>10102</v>
      </c>
      <c r="B28" s="12">
        <v>10104</v>
      </c>
      <c r="C28" s="44">
        <v>-1</v>
      </c>
    </row>
    <row r="29" spans="1:14" ht="15">
      <c r="A29" s="7">
        <v>10106</v>
      </c>
      <c r="B29" s="12">
        <v>10108</v>
      </c>
      <c r="C29" s="44">
        <v>70</v>
      </c>
    </row>
    <row r="30" spans="1:14" ht="15">
      <c r="A30" s="7">
        <v>10102</v>
      </c>
      <c r="B30" s="12">
        <v>10106</v>
      </c>
      <c r="C30" s="44">
        <v>90</v>
      </c>
    </row>
    <row r="31" spans="1:14" ht="15">
      <c r="A31" s="7">
        <v>10110</v>
      </c>
      <c r="B31" s="12">
        <v>10114</v>
      </c>
      <c r="C31" s="44">
        <v>180</v>
      </c>
    </row>
    <row r="32" spans="1:14" ht="15">
      <c r="A32" s="7">
        <v>10104</v>
      </c>
      <c r="B32" s="12">
        <v>10106</v>
      </c>
      <c r="C32" s="44">
        <v>60</v>
      </c>
    </row>
    <row r="33" spans="1:3" ht="15">
      <c r="A33" s="7">
        <v>10110</v>
      </c>
      <c r="B33" s="12">
        <v>10112</v>
      </c>
      <c r="C33" s="44">
        <v>115</v>
      </c>
    </row>
    <row r="34" spans="1:3" ht="15">
      <c r="A34" s="7">
        <v>10100</v>
      </c>
      <c r="B34" s="12">
        <v>10114</v>
      </c>
      <c r="C34" s="44">
        <v>480</v>
      </c>
    </row>
    <row r="35" spans="1:3" ht="15">
      <c r="A35" s="9">
        <v>10112</v>
      </c>
      <c r="B35" s="13">
        <v>10116</v>
      </c>
      <c r="C35" s="45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admin</cp:lastModifiedBy>
  <dcterms:created xsi:type="dcterms:W3CDTF">2015-02-10T17:33:11Z</dcterms:created>
  <dcterms:modified xsi:type="dcterms:W3CDTF">2024-10-24T12:24:39Z</dcterms:modified>
</cp:coreProperties>
</file>